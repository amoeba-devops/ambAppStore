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1310"/>
  </bookViews>
  <sheets>
    <sheet name="COST " sheetId="5" r:id="rId1"/>
    <sheet name="OCT 25" sheetId="13" r:id="rId2"/>
    <sheet name="NOV 25" sheetId="15" r:id="rId3"/>
    <sheet name="DEC 25" sheetId="1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5" l="1"/>
  <c r="D15" i="5"/>
  <c r="F36" i="14"/>
  <c r="F35" i="14"/>
  <c r="F28" i="14"/>
  <c r="F26" i="14"/>
  <c r="F29" i="15"/>
  <c r="F27" i="15"/>
  <c r="F19" i="15"/>
  <c r="E10" i="5"/>
  <c r="D10" i="5"/>
  <c r="E7" i="5"/>
  <c r="D7" i="5"/>
  <c r="E5" i="5"/>
  <c r="D5" i="5"/>
  <c r="C15" i="5" l="1"/>
  <c r="F25" i="13"/>
  <c r="C7" i="5"/>
  <c r="C5" i="5"/>
  <c r="C10" i="5" l="1"/>
</calcChain>
</file>

<file path=xl/sharedStrings.xml><?xml version="1.0" encoding="utf-8"?>
<sst xmlns="http://schemas.openxmlformats.org/spreadsheetml/2006/main" count="247" uniqueCount="177">
  <si>
    <t>SALARY</t>
  </si>
  <si>
    <t>VIVA</t>
  </si>
  <si>
    <t>Depreciation for truck</t>
  </si>
  <si>
    <t>Gasoline charge</t>
  </si>
  <si>
    <t>Parking and other charge</t>
  </si>
  <si>
    <t>Toll gate tiecket charge</t>
  </si>
  <si>
    <t>Total</t>
  </si>
  <si>
    <t>Total Billing</t>
  </si>
  <si>
    <t>HÀNG CHUYỂN</t>
  </si>
  <si>
    <t>NOBLAND</t>
  </si>
  <si>
    <t>OKIA</t>
  </si>
  <si>
    <t>OCT</t>
  </si>
  <si>
    <t>TOP</t>
  </si>
  <si>
    <t>50E-32407</t>
  </si>
  <si>
    <t>160-99362141 / 172-01733631 / 086-63135030</t>
  </si>
  <si>
    <t>307819980110 / 307819946360</t>
  </si>
  <si>
    <t xml:space="preserve"> SIKL25018254  / SIKL25018010</t>
  </si>
  <si>
    <t>307825589800 / 307824474110</t>
  </si>
  <si>
    <t>43Z1220592</t>
  </si>
  <si>
    <t>307827626430</t>
  </si>
  <si>
    <t>RG-SZXHCM2509001</t>
  </si>
  <si>
    <t>107581237410</t>
  </si>
  <si>
    <t>PJ</t>
  </si>
  <si>
    <t xml:space="preserve">HAF25100002  </t>
  </si>
  <si>
    <t xml:space="preserve">107590377310  </t>
  </si>
  <si>
    <t>HFIBKO2590E2 / SHHON2509BB-029</t>
  </si>
  <si>
    <t>107580980510 / 107581514830</t>
  </si>
  <si>
    <t xml:space="preserve">SG90002938 </t>
  </si>
  <si>
    <t>307849219220</t>
  </si>
  <si>
    <t xml:space="preserve">43Z1221312  / SG90002945 </t>
  </si>
  <si>
    <t>307859240860 / 307858665940 / 307858635030</t>
  </si>
  <si>
    <t>SG90002953</t>
  </si>
  <si>
    <t>307866738600 / 307866767300</t>
  </si>
  <si>
    <t>SIKL25018822 / 43Z1221648</t>
  </si>
  <si>
    <t>307869315410 / 307870401440</t>
  </si>
  <si>
    <t>KLOC2510001</t>
  </si>
  <si>
    <t>107620730600</t>
  </si>
  <si>
    <t>SGN59232497</t>
  </si>
  <si>
    <t>307876264860</t>
  </si>
  <si>
    <t>61561694743</t>
  </si>
  <si>
    <t xml:space="preserve">307881627560 / 307881562460 </t>
  </si>
  <si>
    <t>43Z1221979 / 160-94797194</t>
  </si>
  <si>
    <t>307889138930 / 307888481300</t>
  </si>
  <si>
    <t xml:space="preserve">SGNA002422 </t>
  </si>
  <si>
    <t>307892711140</t>
  </si>
  <si>
    <t>SVIC00463500 / SVIC00463503</t>
  </si>
  <si>
    <t>307896172530 / 307896167850</t>
  </si>
  <si>
    <t>SGN59255965</t>
  </si>
  <si>
    <t>307898224010</t>
  </si>
  <si>
    <t>SSGNA0001809 / SSGNA0001804 / VNA25100066</t>
  </si>
  <si>
    <t>307903088860 / 307903054560 / 307903784220</t>
  </si>
  <si>
    <t xml:space="preserve">SIKL25019451  / NNRSGN038626 </t>
  </si>
  <si>
    <t>307908257660 / 307907924130 / 307907916210</t>
  </si>
  <si>
    <t>SERVERONE</t>
  </si>
  <si>
    <t>43Z1222731</t>
  </si>
  <si>
    <t>307917011530</t>
  </si>
  <si>
    <t>NOV</t>
  </si>
  <si>
    <t>DEC</t>
  </si>
  <si>
    <t xml:space="preserve">43Z1222876 / 43Z1222916 </t>
  </si>
  <si>
    <t>307926462230 / 307927123730 / 307928049240 / 307928055060</t>
  </si>
  <si>
    <t>SEVERONE</t>
  </si>
  <si>
    <t xml:space="preserve">NNRSGN038650 </t>
  </si>
  <si>
    <t>307934321240 / 307934296150 / 307937968020</t>
  </si>
  <si>
    <t xml:space="preserve">KTLG2511301  </t>
  </si>
  <si>
    <t xml:space="preserve">107680014410  </t>
  </si>
  <si>
    <t>SVIC00467158	 / SVIC00467155</t>
  </si>
  <si>
    <t xml:space="preserve">307938076630 / </t>
  </si>
  <si>
    <t>BOSZ2510079</t>
  </si>
  <si>
    <t>107682650500</t>
  </si>
  <si>
    <t>PUKU 2</t>
  </si>
  <si>
    <t>78468460803</t>
  </si>
  <si>
    <t>107687818450</t>
  </si>
  <si>
    <t>KUK IL</t>
  </si>
  <si>
    <t>23213763982</t>
  </si>
  <si>
    <t>107673011130</t>
  </si>
  <si>
    <t xml:space="preserve">SGN59311684 / SGN59311684A </t>
  </si>
  <si>
    <t xml:space="preserve">307947930750 / 307947963060 </t>
  </si>
  <si>
    <t>SGN59302675</t>
  </si>
  <si>
    <t>307951762000 / 307951743320</t>
  </si>
  <si>
    <t>20251113</t>
  </si>
  <si>
    <t>307956134420</t>
  </si>
  <si>
    <t>JC</t>
  </si>
  <si>
    <t>SSGNA0002159</t>
  </si>
  <si>
    <t>307959190140</t>
  </si>
  <si>
    <t>SSGNA0002211</t>
  </si>
  <si>
    <t>307969468830</t>
  </si>
  <si>
    <t>HANS</t>
  </si>
  <si>
    <t xml:space="preserve">RUSHA251120 </t>
  </si>
  <si>
    <t>307972387500</t>
  </si>
  <si>
    <t>SNC</t>
  </si>
  <si>
    <t xml:space="preserve">RUS2511182  </t>
  </si>
  <si>
    <t xml:space="preserve">107715938260  </t>
  </si>
  <si>
    <t>NNRSGN038708 / SIVH25000328 / SIVH25000329</t>
  </si>
  <si>
    <t>307977666200 / 307977771640</t>
  </si>
  <si>
    <t xml:space="preserve">SIKL25021114 / SIKL25021047 / SSG90003020 </t>
  </si>
  <si>
    <t>307985345750 / 307984753920 / 307985668010</t>
  </si>
  <si>
    <t>43Z1224570 / 43Z1224392</t>
  </si>
  <si>
    <t>307997736450 / 307997717440 / 307997910640 / 307997812860</t>
  </si>
  <si>
    <t>SGN/HEL/3726933</t>
  </si>
  <si>
    <t>308000104440</t>
  </si>
  <si>
    <t>SSGNA0002305</t>
  </si>
  <si>
    <t>308005121710</t>
  </si>
  <si>
    <t xml:space="preserve">TAC01022016 </t>
  </si>
  <si>
    <t>107745684540</t>
  </si>
  <si>
    <t>BELLA</t>
  </si>
  <si>
    <t>RUS2511281</t>
  </si>
  <si>
    <t xml:space="preserve">HÀNG ĐỊA LÝ </t>
  </si>
  <si>
    <t>FNP</t>
  </si>
  <si>
    <t>78468467372</t>
  </si>
  <si>
    <t>107751273230</t>
  </si>
  <si>
    <t>BOSZ2511135</t>
  </si>
  <si>
    <t>107751387000</t>
  </si>
  <si>
    <t xml:space="preserve">NNRSGN038743  </t>
  </si>
  <si>
    <t>308017737000</t>
  </si>
  <si>
    <t>SSGNA0002346</t>
  </si>
  <si>
    <t>308020010120</t>
  </si>
  <si>
    <t>NNRSGN038753</t>
  </si>
  <si>
    <t>308025745110</t>
  </si>
  <si>
    <t xml:space="preserve">43Z1225106  / NNRSGN038761 </t>
  </si>
  <si>
    <t>308029410860 / 308029648200</t>
  </si>
  <si>
    <t>DAIWON</t>
  </si>
  <si>
    <t xml:space="preserve">FEQA2501204  </t>
  </si>
  <si>
    <t xml:space="preserve">107771500540  </t>
  </si>
  <si>
    <t>SEWANG</t>
  </si>
  <si>
    <t xml:space="preserve">SHTYA252338  </t>
  </si>
  <si>
    <t>107771717650</t>
  </si>
  <si>
    <t xml:space="preserve">NNRSGN038772 </t>
  </si>
  <si>
    <t>308040302200 / 308040284810</t>
  </si>
  <si>
    <t xml:space="preserve">26012210 </t>
  </si>
  <si>
    <t>308042828610</t>
  </si>
  <si>
    <t xml:space="preserve">KSSHA2502778 </t>
  </si>
  <si>
    <t>107779785410</t>
  </si>
  <si>
    <t>KTL25120960INC</t>
  </si>
  <si>
    <t>308045833010</t>
  </si>
  <si>
    <t>308053355210 / 308052726020 / 308052759950</t>
  </si>
  <si>
    <t>WETECH</t>
  </si>
  <si>
    <t>TSN253267</t>
  </si>
  <si>
    <t>107778339060</t>
  </si>
  <si>
    <t>NNR10376031 / BOSZ2512095</t>
  </si>
  <si>
    <t>107799943900 / 107798606310</t>
  </si>
  <si>
    <t>PUKU2</t>
  </si>
  <si>
    <t>BOSH25120500</t>
  </si>
  <si>
    <t>107798705230</t>
  </si>
  <si>
    <t>F3Z2493236</t>
  </si>
  <si>
    <t>308061963660</t>
  </si>
  <si>
    <t xml:space="preserve">BOSZ2512117 </t>
  </si>
  <si>
    <t>107811074230</t>
  </si>
  <si>
    <t>VNAE20255620</t>
  </si>
  <si>
    <t>308070812360</t>
  </si>
  <si>
    <t>SUNGWON</t>
  </si>
  <si>
    <t>SFSS2511258</t>
  </si>
  <si>
    <t>107808874610</t>
  </si>
  <si>
    <t xml:space="preserve">CLVS25006322  / NNRSGN038809 </t>
  </si>
  <si>
    <t>308077696310 / 308077692000</t>
  </si>
  <si>
    <t>BOM53343</t>
  </si>
  <si>
    <t>107818439630</t>
  </si>
  <si>
    <t xml:space="preserve">SG90003072 </t>
  </si>
  <si>
    <t>308080614020</t>
  </si>
  <si>
    <t xml:space="preserve">RUS2511182   </t>
  </si>
  <si>
    <t>HÀNG DAI LY</t>
  </si>
  <si>
    <t>KSSEL2507348</t>
  </si>
  <si>
    <t>107815064010</t>
  </si>
  <si>
    <t>RUS2512201</t>
  </si>
  <si>
    <t xml:space="preserve">NNRSGN038821  </t>
  </si>
  <si>
    <t>308092886050 / 308092864500</t>
  </si>
  <si>
    <t>HANJOO</t>
  </si>
  <si>
    <t>BOSH25120827</t>
  </si>
  <si>
    <t xml:space="preserve">107830004330		</t>
  </si>
  <si>
    <t xml:space="preserve">CBR00782056N </t>
  </si>
  <si>
    <t>308095700200</t>
  </si>
  <si>
    <t>KTLG2512313</t>
  </si>
  <si>
    <t>107840964820</t>
  </si>
  <si>
    <t>99939311963</t>
  </si>
  <si>
    <t>107849157510</t>
  </si>
  <si>
    <t xml:space="preserve">SGNA002904 </t>
  </si>
  <si>
    <t>308112377220</t>
  </si>
  <si>
    <t xml:space="preserve">RUS2512311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</si>
</sst>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.00\ _₫_-;\-* #,##0.00\ _₫_-;_-* &quot;-&quot;??\ _₫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b/>
      <sz val="1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10"/>
      <name val="Calibri "/>
    </font>
    <font>
      <b/>
      <sz val="10"/>
      <name val="Calibri"/>
      <family val="2"/>
      <scheme val="minor"/>
    </font>
    <font>
      <sz val="10"/>
      <name val="Calibri"/>
      <family val="3"/>
      <charset val="129"/>
      <scheme val="minor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Calibri"/>
      <family val="2"/>
    </font>
    <font>
      <sz val="10"/>
      <name val="Cambria"/>
      <family val="1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2F2F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/>
  </cellStyleXfs>
  <cellXfs count="104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/>
    <xf numFmtId="41" fontId="8" fillId="2" borderId="0" xfId="0" applyNumberFormat="1" applyFont="1" applyFill="1"/>
    <xf numFmtId="164" fontId="12" fillId="5" borderId="1" xfId="1" applyNumberFormat="1" applyFont="1" applyFill="1" applyBorder="1" applyAlignment="1">
      <alignment horizontal="center"/>
    </xf>
    <xf numFmtId="0" fontId="13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64" fontId="10" fillId="0" borderId="1" xfId="1" applyNumberFormat="1" applyFont="1" applyFill="1" applyBorder="1" applyAlignment="1">
      <alignment horizontal="center" vertical="center"/>
    </xf>
    <xf numFmtId="0" fontId="11" fillId="0" borderId="1" xfId="0" applyFont="1" applyBorder="1"/>
    <xf numFmtId="164" fontId="11" fillId="0" borderId="1" xfId="1" applyNumberFormat="1" applyFont="1" applyFill="1" applyBorder="1" applyAlignment="1">
      <alignment horizontal="center"/>
    </xf>
    <xf numFmtId="0" fontId="12" fillId="0" borderId="1" xfId="0" applyFont="1" applyBorder="1"/>
    <xf numFmtId="164" fontId="11" fillId="0" borderId="1" xfId="1" applyNumberFormat="1" applyFont="1" applyFill="1" applyBorder="1"/>
    <xf numFmtId="1" fontId="10" fillId="0" borderId="1" xfId="4" quotePrefix="1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164" fontId="15" fillId="0" borderId="1" xfId="1" applyNumberFormat="1" applyFont="1" applyFill="1" applyBorder="1" applyAlignment="1">
      <alignment horizontal="center" vertical="center"/>
    </xf>
    <xf numFmtId="11" fontId="2" fillId="0" borderId="1" xfId="0" applyNumberFormat="1" applyFont="1" applyBorder="1"/>
    <xf numFmtId="11" fontId="12" fillId="0" borderId="1" xfId="0" applyNumberFormat="1" applyFont="1" applyBorder="1" applyAlignment="1">
      <alignment horizontal="left"/>
    </xf>
    <xf numFmtId="0" fontId="10" fillId="0" borderId="1" xfId="0" quotePrefix="1" applyFont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/>
    </xf>
    <xf numFmtId="0" fontId="9" fillId="0" borderId="0" xfId="0" applyFont="1" applyFill="1"/>
    <xf numFmtId="16" fontId="17" fillId="0" borderId="1" xfId="0" applyNumberFormat="1" applyFont="1" applyBorder="1" applyAlignment="1">
      <alignment horizontal="center"/>
    </xf>
    <xf numFmtId="41" fontId="18" fillId="3" borderId="1" xfId="3" applyNumberFormat="1" applyFont="1" applyFill="1" applyBorder="1" applyAlignment="1">
      <alignment horizontal="center" vertical="center" wrapText="1"/>
    </xf>
    <xf numFmtId="16" fontId="4" fillId="3" borderId="1" xfId="0" quotePrefix="1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/>
    </xf>
    <xf numFmtId="0" fontId="17" fillId="3" borderId="1" xfId="0" quotePrefix="1" applyFont="1" applyFill="1" applyBorder="1" applyAlignment="1">
      <alignment horizontal="center" vertical="center" wrapText="1"/>
    </xf>
    <xf numFmtId="11" fontId="17" fillId="3" borderId="1" xfId="0" quotePrefix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" fontId="19" fillId="3" borderId="1" xfId="0" quotePrefix="1" applyNumberFormat="1" applyFont="1" applyFill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1" fontId="19" fillId="0" borderId="1" xfId="0" quotePrefix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" xfId="0" quotePrefix="1" applyFont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16" fontId="19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19" fillId="4" borderId="1" xfId="0" quotePrefix="1" applyFont="1" applyFill="1" applyBorder="1" applyAlignment="1">
      <alignment horizontal="center" vertical="center" wrapText="1"/>
    </xf>
    <xf numFmtId="0" fontId="19" fillId="4" borderId="1" xfId="0" quotePrefix="1" applyFont="1" applyFill="1" applyBorder="1" applyAlignment="1">
      <alignment horizontal="center" vertical="center"/>
    </xf>
    <xf numFmtId="16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20" fillId="0" borderId="1" xfId="0" applyFont="1" applyBorder="1" applyAlignment="1">
      <alignment horizontal="center" vertical="center"/>
    </xf>
    <xf numFmtId="164" fontId="12" fillId="0" borderId="1" xfId="1" applyNumberFormat="1" applyFont="1" applyFill="1" applyBorder="1" applyAlignment="1">
      <alignment horizontal="center"/>
    </xf>
    <xf numFmtId="41" fontId="21" fillId="3" borderId="1" xfId="3" applyNumberFormat="1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/>
    <xf numFmtId="0" fontId="9" fillId="0" borderId="1" xfId="0" applyFont="1" applyBorder="1" applyAlignment="1">
      <alignment horizontal="center" vertical="center"/>
    </xf>
    <xf numFmtId="0" fontId="9" fillId="3" borderId="1" xfId="0" quotePrefix="1" applyFont="1" applyFill="1" applyBorder="1" applyAlignment="1">
      <alignment horizontal="left" vertical="center" wrapText="1"/>
    </xf>
    <xf numFmtId="11" fontId="9" fillId="3" borderId="1" xfId="0" quotePrefix="1" applyNumberFormat="1" applyFont="1" applyFill="1" applyBorder="1" applyAlignment="1">
      <alignment horizontal="left" vertical="center" wrapText="1"/>
    </xf>
    <xf numFmtId="16" fontId="0" fillId="3" borderId="1" xfId="0" quotePrefix="1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1" fontId="0" fillId="0" borderId="1" xfId="0" quotePrefix="1" applyNumberFormat="1" applyFont="1" applyBorder="1" applyAlignment="1">
      <alignment horizontal="left" vertical="center" wrapText="1"/>
    </xf>
    <xf numFmtId="16" fontId="9" fillId="3" borderId="1" xfId="0" applyNumberFormat="1" applyFont="1" applyFill="1" applyBorder="1" applyAlignment="1">
      <alignment horizontal="left" vertical="center"/>
    </xf>
    <xf numFmtId="16" fontId="9" fillId="3" borderId="1" xfId="0" quotePrefix="1" applyNumberFormat="1" applyFont="1" applyFill="1" applyBorder="1" applyAlignment="1">
      <alignment horizontal="left" vertical="center"/>
    </xf>
    <xf numFmtId="16" fontId="9" fillId="3" borderId="1" xfId="0" quotePrefix="1" applyNumberFormat="1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/>
    </xf>
    <xf numFmtId="1" fontId="0" fillId="0" borderId="1" xfId="0" quotePrefix="1" applyNumberFormat="1" applyFont="1" applyBorder="1" applyAlignment="1">
      <alignment horizontal="left" vertical="center"/>
    </xf>
    <xf numFmtId="0" fontId="0" fillId="0" borderId="2" xfId="0" quotePrefix="1" applyFont="1" applyBorder="1" applyAlignment="1">
      <alignment horizontal="left" vertical="center"/>
    </xf>
    <xf numFmtId="14" fontId="0" fillId="0" borderId="1" xfId="0" quotePrefix="1" applyNumberFormat="1" applyFont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quotePrefix="1" applyFont="1" applyFill="1" applyBorder="1" applyAlignment="1">
      <alignment horizontal="left" vertical="center"/>
    </xf>
    <xf numFmtId="16" fontId="0" fillId="0" borderId="1" xfId="0" applyNumberFormat="1" applyFont="1" applyBorder="1" applyAlignment="1">
      <alignment horizontal="left" vertical="center"/>
    </xf>
    <xf numFmtId="16" fontId="0" fillId="0" borderId="3" xfId="0" applyNumberFormat="1" applyFont="1" applyBorder="1" applyAlignment="1">
      <alignment horizontal="left" vertical="center"/>
    </xf>
    <xf numFmtId="0" fontId="0" fillId="0" borderId="1" xfId="0" quotePrefix="1" applyFont="1" applyBorder="1" applyAlignment="1">
      <alignment horizontal="left" vertical="center"/>
    </xf>
    <xf numFmtId="1" fontId="9" fillId="0" borderId="1" xfId="4" quotePrefix="1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quotePrefix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1" fontId="0" fillId="3" borderId="1" xfId="5" quotePrefix="1" applyNumberFormat="1" applyFont="1" applyFill="1" applyBorder="1" applyAlignment="1">
      <alignment horizontal="left" vertical="center"/>
    </xf>
    <xf numFmtId="16" fontId="0" fillId="3" borderId="1" xfId="0" quotePrefix="1" applyNumberFormat="1" applyFont="1" applyFill="1" applyBorder="1" applyAlignment="1">
      <alignment horizontal="left" vertical="center" wrapText="1"/>
    </xf>
    <xf numFmtId="16" fontId="9" fillId="0" borderId="1" xfId="0" applyNumberFormat="1" applyFont="1" applyBorder="1" applyAlignment="1">
      <alignment horizontal="center" vertical="center"/>
    </xf>
    <xf numFmtId="164" fontId="8" fillId="2" borderId="0" xfId="0" applyNumberFormat="1" applyFont="1" applyFill="1"/>
    <xf numFmtId="1" fontId="9" fillId="0" borderId="1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1" fontId="0" fillId="3" borderId="1" xfId="0" quotePrefix="1" applyNumberFormat="1" applyFont="1" applyFill="1" applyBorder="1" applyAlignment="1">
      <alignment horizontal="left" vertical="center" wrapText="1"/>
    </xf>
    <xf numFmtId="1" fontId="0" fillId="3" borderId="1" xfId="0" quotePrefix="1" applyNumberFormat="1" applyFont="1" applyFill="1" applyBorder="1" applyAlignment="1">
      <alignment horizontal="left" vertical="center"/>
    </xf>
    <xf numFmtId="14" fontId="0" fillId="6" borderId="1" xfId="0" applyNumberFormat="1" applyFont="1" applyFill="1" applyBorder="1" applyAlignment="1">
      <alignment horizontal="left" vertical="center"/>
    </xf>
    <xf numFmtId="14" fontId="0" fillId="6" borderId="1" xfId="0" quotePrefix="1" applyNumberFormat="1" applyFont="1" applyFill="1" applyBorder="1" applyAlignment="1">
      <alignment horizontal="left" vertical="center"/>
    </xf>
    <xf numFmtId="16" fontId="9" fillId="3" borderId="1" xfId="0" applyNumberFormat="1" applyFont="1" applyFill="1" applyBorder="1" applyAlignment="1">
      <alignment horizontal="left"/>
    </xf>
    <xf numFmtId="16" fontId="9" fillId="3" borderId="1" xfId="0" quotePrefix="1" applyNumberFormat="1" applyFont="1" applyFill="1" applyBorder="1" applyAlignment="1">
      <alignment horizontal="left"/>
    </xf>
    <xf numFmtId="0" fontId="0" fillId="3" borderId="2" xfId="0" applyFont="1" applyFill="1" applyBorder="1" applyAlignment="1">
      <alignment horizontal="left" vertical="center"/>
    </xf>
    <xf numFmtId="11" fontId="0" fillId="3" borderId="1" xfId="0" quotePrefix="1" applyNumberFormat="1" applyFont="1" applyFill="1" applyBorder="1" applyAlignment="1">
      <alignment horizontal="left" vertical="center"/>
    </xf>
    <xf numFmtId="0" fontId="0" fillId="4" borderId="1" xfId="0" quotePrefix="1" applyFont="1" applyFill="1" applyBorder="1" applyAlignment="1">
      <alignment horizontal="left" vertical="center" wrapText="1"/>
    </xf>
    <xf numFmtId="16" fontId="0" fillId="3" borderId="3" xfId="0" applyNumberFormat="1" applyFont="1" applyFill="1" applyBorder="1" applyAlignment="1">
      <alignment horizontal="left" vertical="center"/>
    </xf>
    <xf numFmtId="1" fontId="0" fillId="7" borderId="1" xfId="0" quotePrefix="1" applyNumberFormat="1" applyFont="1" applyFill="1" applyBorder="1" applyAlignment="1">
      <alignment horizontal="left" vertical="center" wrapText="1"/>
    </xf>
    <xf numFmtId="16" fontId="0" fillId="3" borderId="3" xfId="0" quotePrefix="1" applyNumberFormat="1" applyFont="1" applyFill="1" applyBorder="1" applyAlignment="1">
      <alignment horizontal="left" vertical="center"/>
    </xf>
    <xf numFmtId="1" fontId="9" fillId="3" borderId="1" xfId="4" quotePrefix="1" applyNumberFormat="1" applyFont="1" applyFill="1" applyBorder="1" applyAlignment="1">
      <alignment horizontal="left" vertical="center"/>
    </xf>
    <xf numFmtId="1" fontId="9" fillId="3" borderId="1" xfId="0" applyNumberFormat="1" applyFont="1" applyFill="1" applyBorder="1" applyAlignment="1">
      <alignment horizontal="left" vertical="center"/>
    </xf>
    <xf numFmtId="164" fontId="22" fillId="2" borderId="0" xfId="0" applyNumberFormat="1" applyFont="1" applyFill="1"/>
    <xf numFmtId="0" fontId="7" fillId="2" borderId="0" xfId="0" applyFont="1" applyFill="1" applyAlignment="1">
      <alignment horizontal="center"/>
    </xf>
  </cellXfs>
  <cellStyles count="6">
    <cellStyle name="Comma" xfId="1" builtinId="3"/>
    <cellStyle name="Comma 2 2 2" xfId="2"/>
    <cellStyle name="Comma 3" xfId="4"/>
    <cellStyle name="Comma 5 2" xfId="5"/>
    <cellStyle name="Normal" xfId="0" builtinId="0"/>
    <cellStyle name="Percent 2" xfId="3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4:E15"/>
  <sheetViews>
    <sheetView tabSelected="1" workbookViewId="0">
      <selection activeCell="D21" sqref="D21"/>
    </sheetView>
  </sheetViews>
  <sheetFormatPr defaultRowHeight="15"/>
  <cols>
    <col min="2" max="2" width="23.85546875" customWidth="1"/>
    <col min="3" max="3" width="17" customWidth="1"/>
    <col min="4" max="4" width="13.85546875" customWidth="1"/>
    <col min="5" max="5" width="13.28515625" customWidth="1"/>
  </cols>
  <sheetData>
    <row r="4" spans="2:5" s="6" customFormat="1">
      <c r="B4" s="29" t="s">
        <v>13</v>
      </c>
      <c r="C4" s="14" t="s">
        <v>11</v>
      </c>
      <c r="D4" s="14" t="s">
        <v>56</v>
      </c>
      <c r="E4" s="14" t="s">
        <v>57</v>
      </c>
    </row>
    <row r="5" spans="2:5" ht="14.25" customHeight="1">
      <c r="B5" s="15" t="s">
        <v>0</v>
      </c>
      <c r="C5" s="17">
        <f>10625000+720000</f>
        <v>11345000</v>
      </c>
      <c r="D5" s="17">
        <f>10625000+720000</f>
        <v>11345000</v>
      </c>
      <c r="E5" s="17">
        <f>10625000+720000</f>
        <v>11345000</v>
      </c>
    </row>
    <row r="6" spans="2:5" ht="14.25" customHeight="1">
      <c r="B6" s="16" t="s">
        <v>2</v>
      </c>
      <c r="C6" s="17">
        <v>3541667</v>
      </c>
      <c r="D6" s="17">
        <v>3541667</v>
      </c>
      <c r="E6" s="17">
        <v>3541667</v>
      </c>
    </row>
    <row r="7" spans="2:5" ht="14.25" customHeight="1">
      <c r="B7" s="18" t="s">
        <v>3</v>
      </c>
      <c r="C7" s="21">
        <f>6590000/1.08</f>
        <v>6101851.8518518517</v>
      </c>
      <c r="D7" s="21">
        <f>7000000/1.08</f>
        <v>6481481.4814814813</v>
      </c>
      <c r="E7" s="21">
        <f>7600000/1.08</f>
        <v>7037037.0370370364</v>
      </c>
    </row>
    <row r="8" spans="2:5" ht="14.25" customHeight="1">
      <c r="B8" s="18" t="s">
        <v>4</v>
      </c>
      <c r="C8" s="19">
        <v>2670000</v>
      </c>
      <c r="D8" s="19">
        <v>2930000</v>
      </c>
      <c r="E8" s="19">
        <v>1870000</v>
      </c>
    </row>
    <row r="9" spans="2:5" ht="14.25" customHeight="1">
      <c r="B9" s="18" t="s">
        <v>5</v>
      </c>
      <c r="C9" s="19">
        <v>200000</v>
      </c>
      <c r="D9" s="19">
        <v>662000</v>
      </c>
      <c r="E9" s="19">
        <v>438000</v>
      </c>
    </row>
    <row r="10" spans="2:5" ht="14.25" customHeight="1">
      <c r="B10" s="20" t="s">
        <v>6</v>
      </c>
      <c r="C10" s="27">
        <f>SUM(C5:C9)</f>
        <v>23858518.851851851</v>
      </c>
      <c r="D10" s="55">
        <f>SUM(D5:D9)</f>
        <v>24960148.481481481</v>
      </c>
      <c r="E10" s="55">
        <f>SUM(E5:E9)</f>
        <v>24231704.037037037</v>
      </c>
    </row>
    <row r="11" spans="2:5">
      <c r="B11" s="5"/>
    </row>
    <row r="12" spans="2:5">
      <c r="B12" s="5"/>
    </row>
    <row r="14" spans="2:5">
      <c r="B14" s="28" t="s">
        <v>13</v>
      </c>
      <c r="C14" s="14" t="s">
        <v>11</v>
      </c>
      <c r="D14" s="14" t="s">
        <v>56</v>
      </c>
      <c r="E14" s="14" t="s">
        <v>57</v>
      </c>
    </row>
    <row r="15" spans="2:5">
      <c r="B15" s="20" t="s">
        <v>7</v>
      </c>
      <c r="C15" s="27">
        <f>'OCT 25'!F25</f>
        <v>25080000</v>
      </c>
      <c r="D15" s="27">
        <f>'NOV 25'!F29</f>
        <v>27465000</v>
      </c>
      <c r="E15" s="27">
        <f>'DEC 25'!F36</f>
        <v>32475000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0"/>
  <sheetViews>
    <sheetView showGridLines="0" workbookViewId="0">
      <selection activeCell="E19" sqref="E19"/>
    </sheetView>
  </sheetViews>
  <sheetFormatPr defaultColWidth="8" defaultRowHeight="15"/>
  <cols>
    <col min="1" max="1" width="6.42578125" style="2" customWidth="1"/>
    <col min="2" max="2" width="13.5703125" style="3" customWidth="1"/>
    <col min="3" max="3" width="14.5703125" style="4" customWidth="1"/>
    <col min="4" max="4" width="17.85546875" style="7" customWidth="1"/>
    <col min="5" max="5" width="18.28515625" style="7" customWidth="1"/>
    <col min="6" max="6" width="16" style="1" customWidth="1"/>
    <col min="7" max="7" width="17.42578125" style="1" customWidth="1"/>
    <col min="8" max="16384" width="8" style="1"/>
  </cols>
  <sheetData>
    <row r="2" spans="1:6" ht="27" customHeight="1">
      <c r="A2" s="103" t="s">
        <v>13</v>
      </c>
      <c r="B2" s="103"/>
      <c r="C2" s="103"/>
      <c r="D2" s="103"/>
      <c r="E2" s="103"/>
      <c r="F2" s="103"/>
    </row>
    <row r="4" spans="1:6" s="8" customFormat="1" ht="38.25">
      <c r="A4" s="26">
        <v>1</v>
      </c>
      <c r="B4" s="33">
        <v>45931</v>
      </c>
      <c r="C4" s="34" t="s">
        <v>9</v>
      </c>
      <c r="D4" s="35" t="s">
        <v>14</v>
      </c>
      <c r="E4" s="35" t="s">
        <v>15</v>
      </c>
      <c r="F4" s="36">
        <v>660000</v>
      </c>
    </row>
    <row r="5" spans="1:6" s="8" customFormat="1" ht="25.5">
      <c r="A5" s="26">
        <v>2</v>
      </c>
      <c r="B5" s="33">
        <v>45932</v>
      </c>
      <c r="C5" s="34" t="s">
        <v>10</v>
      </c>
      <c r="D5" s="37" t="s">
        <v>16</v>
      </c>
      <c r="E5" s="37" t="s">
        <v>17</v>
      </c>
      <c r="F5" s="36">
        <v>1350000</v>
      </c>
    </row>
    <row r="6" spans="1:6" s="8" customFormat="1">
      <c r="A6" s="26">
        <v>3</v>
      </c>
      <c r="B6" s="33">
        <v>45933</v>
      </c>
      <c r="C6" s="34" t="s">
        <v>10</v>
      </c>
      <c r="D6" s="38" t="s">
        <v>18</v>
      </c>
      <c r="E6" s="37" t="s">
        <v>19</v>
      </c>
      <c r="F6" s="36">
        <v>1150000</v>
      </c>
    </row>
    <row r="7" spans="1:6" s="8" customFormat="1">
      <c r="A7" s="26">
        <v>4</v>
      </c>
      <c r="B7" s="33">
        <v>45936</v>
      </c>
      <c r="C7" s="39" t="s">
        <v>1</v>
      </c>
      <c r="D7" s="30" t="s">
        <v>20</v>
      </c>
      <c r="E7" s="22" t="s">
        <v>21</v>
      </c>
      <c r="F7" s="36">
        <v>1150000</v>
      </c>
    </row>
    <row r="8" spans="1:6" s="8" customFormat="1">
      <c r="A8" s="25">
        <v>5</v>
      </c>
      <c r="B8" s="33">
        <v>45937</v>
      </c>
      <c r="C8" s="34" t="s">
        <v>22</v>
      </c>
      <c r="D8" s="40" t="s">
        <v>23</v>
      </c>
      <c r="E8" s="40" t="s">
        <v>24</v>
      </c>
      <c r="F8" s="36">
        <v>1200000</v>
      </c>
    </row>
    <row r="9" spans="1:6" s="8" customFormat="1">
      <c r="A9" s="26">
        <v>6</v>
      </c>
      <c r="B9" s="33">
        <v>45938</v>
      </c>
      <c r="C9" s="34" t="s">
        <v>1</v>
      </c>
      <c r="D9" s="24" t="s">
        <v>25</v>
      </c>
      <c r="E9" s="31" t="s">
        <v>26</v>
      </c>
      <c r="F9" s="36">
        <v>1150000</v>
      </c>
    </row>
    <row r="10" spans="1:6" s="8" customFormat="1">
      <c r="A10" s="26">
        <v>7</v>
      </c>
      <c r="B10" s="33">
        <v>45940</v>
      </c>
      <c r="C10" s="34" t="s">
        <v>10</v>
      </c>
      <c r="D10" s="41" t="s">
        <v>27</v>
      </c>
      <c r="E10" s="42" t="s">
        <v>28</v>
      </c>
      <c r="F10" s="36">
        <v>1150000</v>
      </c>
    </row>
    <row r="11" spans="1:6" s="8" customFormat="1">
      <c r="A11" s="26">
        <v>8</v>
      </c>
      <c r="B11" s="33">
        <v>45944</v>
      </c>
      <c r="C11" s="34" t="s">
        <v>10</v>
      </c>
      <c r="D11" s="43" t="s">
        <v>29</v>
      </c>
      <c r="E11" s="42" t="s">
        <v>30</v>
      </c>
      <c r="F11" s="36">
        <v>1350000</v>
      </c>
    </row>
    <row r="12" spans="1:6" s="8" customFormat="1">
      <c r="A12" s="26">
        <v>9</v>
      </c>
      <c r="B12" s="33">
        <v>45946</v>
      </c>
      <c r="C12" s="34" t="s">
        <v>10</v>
      </c>
      <c r="D12" s="44" t="s">
        <v>31</v>
      </c>
      <c r="E12" s="44" t="s">
        <v>32</v>
      </c>
      <c r="F12" s="36">
        <v>1150000</v>
      </c>
    </row>
    <row r="13" spans="1:6" s="8" customFormat="1" ht="25.5">
      <c r="A13" s="26">
        <v>10</v>
      </c>
      <c r="B13" s="33">
        <v>45947</v>
      </c>
      <c r="C13" s="34" t="s">
        <v>10</v>
      </c>
      <c r="D13" s="34" t="s">
        <v>33</v>
      </c>
      <c r="E13" s="34" t="s">
        <v>34</v>
      </c>
      <c r="F13" s="34">
        <v>1350000</v>
      </c>
    </row>
    <row r="14" spans="1:6" s="8" customFormat="1">
      <c r="A14" s="26">
        <v>11</v>
      </c>
      <c r="B14" s="33">
        <v>45948</v>
      </c>
      <c r="C14" s="34" t="s">
        <v>12</v>
      </c>
      <c r="D14" s="34" t="s">
        <v>35</v>
      </c>
      <c r="E14" s="34" t="s">
        <v>36</v>
      </c>
      <c r="F14" s="34">
        <v>1310000</v>
      </c>
    </row>
    <row r="15" spans="1:6" s="8" customFormat="1">
      <c r="A15" s="26">
        <v>12</v>
      </c>
      <c r="B15" s="33">
        <v>45950</v>
      </c>
      <c r="C15" s="34" t="s">
        <v>10</v>
      </c>
      <c r="D15" s="44" t="s">
        <v>37</v>
      </c>
      <c r="E15" s="42" t="s">
        <v>38</v>
      </c>
      <c r="F15" s="36">
        <v>1150000</v>
      </c>
    </row>
    <row r="16" spans="1:6" s="8" customFormat="1">
      <c r="A16" s="26">
        <v>13</v>
      </c>
      <c r="B16" s="33">
        <v>45951</v>
      </c>
      <c r="C16" s="34" t="s">
        <v>10</v>
      </c>
      <c r="D16" s="45" t="s">
        <v>39</v>
      </c>
      <c r="E16" s="46" t="s">
        <v>40</v>
      </c>
      <c r="F16" s="36">
        <v>1150000</v>
      </c>
    </row>
    <row r="17" spans="1:13" s="8" customFormat="1">
      <c r="A17" s="26">
        <v>14</v>
      </c>
      <c r="B17" s="33">
        <v>45953</v>
      </c>
      <c r="C17" s="34" t="s">
        <v>10</v>
      </c>
      <c r="D17" s="47" t="s">
        <v>41</v>
      </c>
      <c r="E17" s="47" t="s">
        <v>42</v>
      </c>
      <c r="F17" s="36">
        <v>1350000</v>
      </c>
    </row>
    <row r="18" spans="1:13" s="8" customFormat="1">
      <c r="A18" s="26">
        <v>15</v>
      </c>
      <c r="B18" s="33">
        <v>45954</v>
      </c>
      <c r="C18" s="48" t="s">
        <v>10</v>
      </c>
      <c r="D18" s="37" t="s">
        <v>43</v>
      </c>
      <c r="E18" s="37" t="s">
        <v>44</v>
      </c>
      <c r="F18" s="49">
        <v>1150000</v>
      </c>
    </row>
    <row r="19" spans="1:13" s="8" customFormat="1" ht="25.5">
      <c r="A19" s="26">
        <v>16</v>
      </c>
      <c r="B19" s="33">
        <v>45955</v>
      </c>
      <c r="C19" s="48" t="s">
        <v>10</v>
      </c>
      <c r="D19" s="37" t="s">
        <v>45</v>
      </c>
      <c r="E19" s="37" t="s">
        <v>46</v>
      </c>
      <c r="F19" s="49">
        <v>1350000</v>
      </c>
      <c r="H19" s="32"/>
      <c r="I19" s="32"/>
      <c r="J19" s="32"/>
      <c r="K19" s="32"/>
      <c r="L19" s="32"/>
      <c r="M19" s="32"/>
    </row>
    <row r="20" spans="1:13" s="8" customFormat="1">
      <c r="A20" s="26">
        <v>17</v>
      </c>
      <c r="B20" s="33">
        <v>45957</v>
      </c>
      <c r="C20" s="48" t="s">
        <v>10</v>
      </c>
      <c r="D20" s="37" t="s">
        <v>47</v>
      </c>
      <c r="E20" s="37" t="s">
        <v>48</v>
      </c>
      <c r="F20" s="49">
        <v>1150000</v>
      </c>
      <c r="H20" s="32"/>
      <c r="I20" s="32"/>
      <c r="J20" s="32"/>
      <c r="K20" s="32"/>
      <c r="L20" s="32"/>
      <c r="M20" s="32"/>
    </row>
    <row r="21" spans="1:13" s="8" customFormat="1" ht="38.25">
      <c r="A21" s="26">
        <v>18</v>
      </c>
      <c r="B21" s="33">
        <v>45958</v>
      </c>
      <c r="C21" s="48" t="s">
        <v>9</v>
      </c>
      <c r="D21" s="50" t="s">
        <v>49</v>
      </c>
      <c r="E21" s="51" t="s">
        <v>50</v>
      </c>
      <c r="F21" s="49">
        <v>860000</v>
      </c>
    </row>
    <row r="22" spans="1:13" s="8" customFormat="1">
      <c r="A22" s="26">
        <v>19</v>
      </c>
      <c r="B22" s="33">
        <v>45959</v>
      </c>
      <c r="C22" s="48" t="s">
        <v>10</v>
      </c>
      <c r="D22" s="23" t="s">
        <v>51</v>
      </c>
      <c r="E22" s="52" t="s">
        <v>52</v>
      </c>
      <c r="F22" s="49">
        <v>1150000</v>
      </c>
    </row>
    <row r="23" spans="1:13" s="8" customFormat="1">
      <c r="A23" s="26">
        <v>20</v>
      </c>
      <c r="B23" s="33">
        <v>45959</v>
      </c>
      <c r="C23" s="48" t="s">
        <v>53</v>
      </c>
      <c r="D23" s="48" t="s">
        <v>8</v>
      </c>
      <c r="E23" s="53"/>
      <c r="F23" s="49">
        <v>1650000</v>
      </c>
    </row>
    <row r="24" spans="1:13" s="8" customFormat="1">
      <c r="A24" s="26">
        <v>21</v>
      </c>
      <c r="B24" s="33">
        <v>45961</v>
      </c>
      <c r="C24" s="48" t="s">
        <v>10</v>
      </c>
      <c r="D24" s="54" t="s">
        <v>54</v>
      </c>
      <c r="E24" s="37" t="s">
        <v>55</v>
      </c>
      <c r="F24" s="49">
        <v>1150000</v>
      </c>
    </row>
    <row r="25" spans="1:13" s="8" customFormat="1" ht="26.25" customHeight="1">
      <c r="A25" s="9"/>
      <c r="B25" s="10"/>
      <c r="C25" s="11"/>
      <c r="D25" s="12"/>
      <c r="E25" s="12"/>
      <c r="F25" s="13">
        <f>SUM(F4:F24)</f>
        <v>25080000</v>
      </c>
    </row>
    <row r="26" spans="1:13" s="8" customFormat="1">
      <c r="A26" s="9"/>
      <c r="B26" s="10"/>
      <c r="C26" s="11"/>
      <c r="D26" s="12"/>
      <c r="E26" s="12"/>
    </row>
    <row r="27" spans="1:13" s="8" customFormat="1">
      <c r="A27" s="9"/>
      <c r="B27" s="10"/>
      <c r="C27" s="11"/>
      <c r="D27" s="12"/>
      <c r="E27" s="12"/>
    </row>
    <row r="28" spans="1:13" s="8" customFormat="1" ht="15.75">
      <c r="A28" s="2"/>
      <c r="B28" s="3"/>
      <c r="C28" s="4"/>
      <c r="D28" s="7"/>
      <c r="E28" s="7"/>
      <c r="F28" s="1"/>
    </row>
    <row r="29" spans="1:13" s="8" customFormat="1" ht="15.75">
      <c r="A29" s="2"/>
      <c r="B29" s="3"/>
      <c r="C29" s="4"/>
      <c r="D29" s="7"/>
      <c r="E29" s="7"/>
      <c r="F29" s="1"/>
    </row>
    <row r="30" spans="1:13" s="8" customFormat="1" ht="15.75">
      <c r="A30" s="2"/>
      <c r="B30" s="3"/>
      <c r="C30" s="4"/>
      <c r="D30" s="7"/>
      <c r="E30" s="7"/>
      <c r="F30" s="1"/>
    </row>
  </sheetData>
  <mergeCells count="1">
    <mergeCell ref="A2:F2"/>
  </mergeCells>
  <conditionalFormatting sqref="E14">
    <cfRule type="duplicateValues" dxfId="8" priority="1"/>
  </conditionalFormatting>
  <conditionalFormatting sqref="E15">
    <cfRule type="duplicateValues" dxfId="7" priority="2"/>
  </conditionalFormatting>
  <conditionalFormatting sqref="E9">
    <cfRule type="duplicateValues" dxfId="6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M30"/>
  <sheetViews>
    <sheetView showGridLines="0" topLeftCell="A13" workbookViewId="0">
      <selection activeCell="F13" sqref="F13"/>
    </sheetView>
  </sheetViews>
  <sheetFormatPr defaultColWidth="8" defaultRowHeight="15"/>
  <cols>
    <col min="1" max="1" width="6.42578125" style="2" customWidth="1"/>
    <col min="2" max="2" width="13.5703125" style="3" customWidth="1"/>
    <col min="3" max="3" width="14.5703125" style="4" customWidth="1"/>
    <col min="4" max="4" width="17.85546875" style="7" customWidth="1"/>
    <col min="5" max="5" width="18.28515625" style="7" customWidth="1"/>
    <col min="6" max="6" width="16" style="1" customWidth="1"/>
    <col min="7" max="7" width="17.42578125" style="1" customWidth="1"/>
    <col min="8" max="16384" width="8" style="1"/>
  </cols>
  <sheetData>
    <row r="2" spans="1:6" ht="27" customHeight="1">
      <c r="A2" s="103" t="s">
        <v>13</v>
      </c>
      <c r="B2" s="103"/>
      <c r="C2" s="103"/>
      <c r="D2" s="103"/>
      <c r="E2" s="103"/>
      <c r="F2" s="103"/>
    </row>
    <row r="4" spans="1:6" s="8" customFormat="1" ht="60">
      <c r="A4" s="59">
        <v>1</v>
      </c>
      <c r="B4" s="83">
        <v>45965</v>
      </c>
      <c r="C4" s="56" t="s">
        <v>10</v>
      </c>
      <c r="D4" s="60" t="s">
        <v>58</v>
      </c>
      <c r="E4" s="60" t="s">
        <v>59</v>
      </c>
      <c r="F4" s="57">
        <v>1150000</v>
      </c>
    </row>
    <row r="5" spans="1:6" s="8" customFormat="1">
      <c r="A5" s="59">
        <v>2</v>
      </c>
      <c r="B5" s="83">
        <v>45966</v>
      </c>
      <c r="C5" s="56" t="s">
        <v>60</v>
      </c>
      <c r="D5" s="60" t="s">
        <v>8</v>
      </c>
      <c r="E5" s="60"/>
      <c r="F5" s="57">
        <v>1200000</v>
      </c>
    </row>
    <row r="6" spans="1:6" s="8" customFormat="1" ht="45">
      <c r="A6" s="59">
        <v>3</v>
      </c>
      <c r="B6" s="83">
        <v>45967</v>
      </c>
      <c r="C6" s="56" t="s">
        <v>10</v>
      </c>
      <c r="D6" s="61" t="s">
        <v>61</v>
      </c>
      <c r="E6" s="60" t="s">
        <v>62</v>
      </c>
      <c r="F6" s="57">
        <v>1150000</v>
      </c>
    </row>
    <row r="7" spans="1:6" s="8" customFormat="1">
      <c r="A7" s="59">
        <v>4</v>
      </c>
      <c r="B7" s="83">
        <v>45967</v>
      </c>
      <c r="C7" s="56" t="s">
        <v>22</v>
      </c>
      <c r="D7" s="62" t="s">
        <v>63</v>
      </c>
      <c r="E7" s="62" t="s">
        <v>64</v>
      </c>
      <c r="F7" s="57">
        <v>1200000</v>
      </c>
    </row>
    <row r="8" spans="1:6" s="8" customFormat="1">
      <c r="A8" s="59">
        <v>5</v>
      </c>
      <c r="B8" s="83">
        <v>45968</v>
      </c>
      <c r="C8" s="56" t="s">
        <v>10</v>
      </c>
      <c r="D8" s="63" t="s">
        <v>65</v>
      </c>
      <c r="E8" s="64" t="s">
        <v>66</v>
      </c>
      <c r="F8" s="57">
        <v>1350000</v>
      </c>
    </row>
    <row r="9" spans="1:6" s="8" customFormat="1">
      <c r="A9" s="59">
        <v>6</v>
      </c>
      <c r="B9" s="83">
        <v>45969</v>
      </c>
      <c r="C9" s="56" t="s">
        <v>9</v>
      </c>
      <c r="D9" s="65" t="s">
        <v>67</v>
      </c>
      <c r="E9" s="66" t="s">
        <v>68</v>
      </c>
      <c r="F9" s="57">
        <v>840000</v>
      </c>
    </row>
    <row r="10" spans="1:6" s="8" customFormat="1">
      <c r="A10" s="59">
        <v>7</v>
      </c>
      <c r="B10" s="83">
        <v>45971</v>
      </c>
      <c r="C10" s="56" t="s">
        <v>69</v>
      </c>
      <c r="D10" s="67" t="s">
        <v>70</v>
      </c>
      <c r="E10" s="66" t="s">
        <v>71</v>
      </c>
      <c r="F10" s="57">
        <v>1050000</v>
      </c>
    </row>
    <row r="11" spans="1:6" s="8" customFormat="1">
      <c r="A11" s="59">
        <v>8</v>
      </c>
      <c r="B11" s="83">
        <v>45971</v>
      </c>
      <c r="C11" s="56" t="s">
        <v>72</v>
      </c>
      <c r="D11" s="67" t="s">
        <v>73</v>
      </c>
      <c r="E11" s="67" t="s">
        <v>74</v>
      </c>
      <c r="F11" s="57">
        <v>880000</v>
      </c>
    </row>
    <row r="12" spans="1:6" s="8" customFormat="1">
      <c r="A12" s="59">
        <v>9</v>
      </c>
      <c r="B12" s="83">
        <v>45972</v>
      </c>
      <c r="C12" s="56" t="s">
        <v>10</v>
      </c>
      <c r="D12" s="68" t="s">
        <v>75</v>
      </c>
      <c r="E12" s="68" t="s">
        <v>76</v>
      </c>
      <c r="F12" s="57">
        <v>1150000</v>
      </c>
    </row>
    <row r="13" spans="1:6" s="8" customFormat="1">
      <c r="A13" s="59">
        <v>10</v>
      </c>
      <c r="B13" s="83">
        <v>45973</v>
      </c>
      <c r="C13" s="56" t="s">
        <v>10</v>
      </c>
      <c r="D13" s="68" t="s">
        <v>77</v>
      </c>
      <c r="E13" s="69" t="s">
        <v>78</v>
      </c>
      <c r="F13" s="57">
        <v>1150000</v>
      </c>
    </row>
    <row r="14" spans="1:6" s="8" customFormat="1">
      <c r="A14" s="59">
        <v>11</v>
      </c>
      <c r="B14" s="83">
        <v>45974</v>
      </c>
      <c r="C14" s="56" t="s">
        <v>10</v>
      </c>
      <c r="D14" s="70" t="s">
        <v>79</v>
      </c>
      <c r="E14" s="69" t="s">
        <v>80</v>
      </c>
      <c r="F14" s="56">
        <v>1150000</v>
      </c>
    </row>
    <row r="15" spans="1:6" s="8" customFormat="1">
      <c r="A15" s="59">
        <v>12</v>
      </c>
      <c r="B15" s="83">
        <v>45975</v>
      </c>
      <c r="C15" s="56" t="s">
        <v>81</v>
      </c>
      <c r="D15" s="65" t="s">
        <v>82</v>
      </c>
      <c r="E15" s="66" t="s">
        <v>83</v>
      </c>
      <c r="F15" s="56">
        <v>900000</v>
      </c>
    </row>
    <row r="16" spans="1:6" s="8" customFormat="1">
      <c r="A16" s="59">
        <v>13</v>
      </c>
      <c r="B16" s="83">
        <v>45978</v>
      </c>
      <c r="C16" s="56" t="s">
        <v>60</v>
      </c>
      <c r="D16" s="65" t="s">
        <v>8</v>
      </c>
      <c r="E16" s="60"/>
      <c r="F16" s="57">
        <v>1030000</v>
      </c>
    </row>
    <row r="17" spans="1:13" s="8" customFormat="1">
      <c r="A17" s="59">
        <v>14</v>
      </c>
      <c r="B17" s="83">
        <v>45979</v>
      </c>
      <c r="C17" s="56" t="s">
        <v>81</v>
      </c>
      <c r="D17" s="65" t="s">
        <v>84</v>
      </c>
      <c r="E17" s="66" t="s">
        <v>85</v>
      </c>
      <c r="F17" s="57">
        <v>900000</v>
      </c>
    </row>
    <row r="18" spans="1:13" s="8" customFormat="1">
      <c r="A18" s="59">
        <v>15</v>
      </c>
      <c r="B18" s="83">
        <v>45980</v>
      </c>
      <c r="C18" s="56" t="s">
        <v>86</v>
      </c>
      <c r="D18" s="71" t="s">
        <v>87</v>
      </c>
      <c r="E18" s="71" t="s">
        <v>88</v>
      </c>
      <c r="F18" s="57">
        <v>1000000</v>
      </c>
    </row>
    <row r="19" spans="1:13" s="8" customFormat="1">
      <c r="A19" s="59">
        <v>16</v>
      </c>
      <c r="B19" s="83">
        <v>45980</v>
      </c>
      <c r="C19" s="56" t="s">
        <v>89</v>
      </c>
      <c r="D19" s="72" t="s">
        <v>90</v>
      </c>
      <c r="E19" s="73" t="s">
        <v>91</v>
      </c>
      <c r="F19" s="57">
        <f>55*27000</f>
        <v>1485000</v>
      </c>
      <c r="H19" s="32"/>
      <c r="I19" s="32"/>
      <c r="J19" s="32"/>
      <c r="K19" s="32"/>
      <c r="L19" s="32"/>
      <c r="M19" s="32"/>
    </row>
    <row r="20" spans="1:13" s="8" customFormat="1">
      <c r="A20" s="59">
        <v>17</v>
      </c>
      <c r="B20" s="83">
        <v>45981</v>
      </c>
      <c r="C20" s="56" t="s">
        <v>10</v>
      </c>
      <c r="D20" s="74" t="s">
        <v>92</v>
      </c>
      <c r="E20" s="74" t="s">
        <v>93</v>
      </c>
      <c r="F20" s="57">
        <v>1350000</v>
      </c>
      <c r="H20" s="32"/>
      <c r="I20" s="32"/>
      <c r="J20" s="32"/>
      <c r="K20" s="32"/>
      <c r="L20" s="32"/>
      <c r="M20" s="32"/>
    </row>
    <row r="21" spans="1:13" s="8" customFormat="1">
      <c r="A21" s="59">
        <v>18</v>
      </c>
      <c r="B21" s="83">
        <v>45982</v>
      </c>
      <c r="C21" s="56" t="s">
        <v>60</v>
      </c>
      <c r="D21" s="65" t="s">
        <v>8</v>
      </c>
      <c r="E21" s="60"/>
      <c r="F21" s="58">
        <v>1270000</v>
      </c>
    </row>
    <row r="22" spans="1:13" s="8" customFormat="1" ht="45">
      <c r="A22" s="59">
        <v>19</v>
      </c>
      <c r="B22" s="83">
        <v>45983</v>
      </c>
      <c r="C22" s="56" t="s">
        <v>10</v>
      </c>
      <c r="D22" s="60" t="s">
        <v>94</v>
      </c>
      <c r="E22" s="60" t="s">
        <v>95</v>
      </c>
      <c r="F22" s="58">
        <v>1350000</v>
      </c>
    </row>
    <row r="23" spans="1:13" s="8" customFormat="1">
      <c r="A23" s="59">
        <v>20</v>
      </c>
      <c r="B23" s="83">
        <v>45987</v>
      </c>
      <c r="C23" s="56" t="s">
        <v>10</v>
      </c>
      <c r="D23" s="75" t="s">
        <v>96</v>
      </c>
      <c r="E23" s="75" t="s">
        <v>97</v>
      </c>
      <c r="F23" s="58">
        <v>1150000</v>
      </c>
    </row>
    <row r="24" spans="1:13" s="8" customFormat="1">
      <c r="A24" s="59">
        <v>21</v>
      </c>
      <c r="B24" s="83">
        <v>45988</v>
      </c>
      <c r="C24" s="56" t="s">
        <v>1</v>
      </c>
      <c r="D24" s="76" t="s">
        <v>98</v>
      </c>
      <c r="E24" s="77" t="s">
        <v>99</v>
      </c>
      <c r="F24" s="58">
        <v>850000</v>
      </c>
    </row>
    <row r="25" spans="1:13" s="8" customFormat="1" ht="26.25" customHeight="1">
      <c r="A25" s="59">
        <v>22</v>
      </c>
      <c r="B25" s="83">
        <v>45989</v>
      </c>
      <c r="C25" s="56" t="s">
        <v>81</v>
      </c>
      <c r="D25" s="78" t="s">
        <v>100</v>
      </c>
      <c r="E25" s="79" t="s">
        <v>101</v>
      </c>
      <c r="F25" s="58">
        <v>900000</v>
      </c>
    </row>
    <row r="26" spans="1:13" s="8" customFormat="1">
      <c r="A26" s="59">
        <v>23</v>
      </c>
      <c r="B26" s="83">
        <v>45989</v>
      </c>
      <c r="C26" s="56" t="s">
        <v>9</v>
      </c>
      <c r="D26" s="80" t="s">
        <v>102</v>
      </c>
      <c r="E26" s="81" t="s">
        <v>103</v>
      </c>
      <c r="F26" s="58">
        <v>660000</v>
      </c>
    </row>
    <row r="27" spans="1:13" s="8" customFormat="1">
      <c r="A27" s="59">
        <v>24</v>
      </c>
      <c r="B27" s="83">
        <v>45990</v>
      </c>
      <c r="C27" s="56" t="s">
        <v>104</v>
      </c>
      <c r="D27" s="72" t="s">
        <v>105</v>
      </c>
      <c r="E27" s="72" t="s">
        <v>106</v>
      </c>
      <c r="F27" s="58">
        <f>50*27000</f>
        <v>1350000</v>
      </c>
    </row>
    <row r="28" spans="1:13" s="8" customFormat="1">
      <c r="A28" s="59">
        <v>25</v>
      </c>
      <c r="B28" s="83">
        <v>45990</v>
      </c>
      <c r="C28" s="56" t="s">
        <v>107</v>
      </c>
      <c r="D28" s="82" t="s">
        <v>108</v>
      </c>
      <c r="E28" s="82" t="s">
        <v>109</v>
      </c>
      <c r="F28" s="58">
        <v>1000000</v>
      </c>
    </row>
    <row r="29" spans="1:13" s="8" customFormat="1">
      <c r="A29" s="9"/>
      <c r="B29" s="10"/>
      <c r="C29" s="11"/>
      <c r="D29" s="12"/>
      <c r="E29" s="12"/>
      <c r="F29" s="84">
        <f>SUM(F4:F28)</f>
        <v>27465000</v>
      </c>
    </row>
    <row r="30" spans="1:13" s="8" customFormat="1" ht="15.75">
      <c r="A30" s="2"/>
      <c r="B30" s="3"/>
      <c r="C30" s="4"/>
      <c r="D30" s="7"/>
      <c r="E30" s="7"/>
      <c r="F30" s="1"/>
    </row>
  </sheetData>
  <mergeCells count="1">
    <mergeCell ref="A2:F2"/>
  </mergeCells>
  <conditionalFormatting sqref="E15">
    <cfRule type="duplicateValues" dxfId="5" priority="1"/>
  </conditionalFormatting>
  <conditionalFormatting sqref="E16">
    <cfRule type="duplicateValues" dxfId="4" priority="2"/>
  </conditionalFormatting>
  <conditionalFormatting sqref="E9">
    <cfRule type="duplicateValues" dxfId="3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M36"/>
  <sheetViews>
    <sheetView showGridLines="0" workbookViewId="0">
      <selection activeCell="G14" sqref="G14"/>
    </sheetView>
  </sheetViews>
  <sheetFormatPr defaultColWidth="8" defaultRowHeight="15"/>
  <cols>
    <col min="1" max="1" width="6.42578125" style="2" customWidth="1"/>
    <col min="2" max="2" width="13.5703125" style="3" customWidth="1"/>
    <col min="3" max="3" width="14.5703125" style="4" customWidth="1"/>
    <col min="4" max="4" width="17.85546875" style="7" customWidth="1"/>
    <col min="5" max="5" width="18.28515625" style="7" customWidth="1"/>
    <col min="6" max="6" width="16" style="1" customWidth="1"/>
    <col min="7" max="7" width="17.42578125" style="1" customWidth="1"/>
    <col min="8" max="16384" width="8" style="1"/>
  </cols>
  <sheetData>
    <row r="2" spans="1:6" ht="27" customHeight="1">
      <c r="A2" s="103" t="s">
        <v>13</v>
      </c>
      <c r="B2" s="103"/>
      <c r="C2" s="103"/>
      <c r="D2" s="103"/>
      <c r="E2" s="103"/>
      <c r="F2" s="103"/>
    </row>
    <row r="4" spans="1:6" s="8" customFormat="1">
      <c r="A4" s="25">
        <v>1</v>
      </c>
      <c r="B4" s="83">
        <v>46357</v>
      </c>
      <c r="C4" s="56" t="s">
        <v>9</v>
      </c>
      <c r="D4" s="67" t="s">
        <v>110</v>
      </c>
      <c r="E4" s="67" t="s">
        <v>111</v>
      </c>
      <c r="F4" s="57">
        <v>840000</v>
      </c>
    </row>
    <row r="5" spans="1:6" s="8" customFormat="1">
      <c r="A5" s="25">
        <v>2</v>
      </c>
      <c r="B5" s="83">
        <v>46358</v>
      </c>
      <c r="C5" s="56" t="s">
        <v>10</v>
      </c>
      <c r="D5" s="60" t="s">
        <v>112</v>
      </c>
      <c r="E5" s="60" t="s">
        <v>113</v>
      </c>
      <c r="F5" s="57">
        <v>1150000</v>
      </c>
    </row>
    <row r="6" spans="1:6" s="8" customFormat="1">
      <c r="A6" s="25">
        <v>3</v>
      </c>
      <c r="B6" s="83">
        <v>46359</v>
      </c>
      <c r="C6" s="56" t="s">
        <v>81</v>
      </c>
      <c r="D6" s="65" t="s">
        <v>114</v>
      </c>
      <c r="E6" s="66" t="s">
        <v>115</v>
      </c>
      <c r="F6" s="57">
        <v>900000</v>
      </c>
    </row>
    <row r="7" spans="1:6" s="8" customFormat="1">
      <c r="A7" s="25">
        <v>4</v>
      </c>
      <c r="B7" s="83">
        <v>46360</v>
      </c>
      <c r="C7" s="56" t="s">
        <v>10</v>
      </c>
      <c r="D7" s="87" t="s">
        <v>116</v>
      </c>
      <c r="E7" s="88" t="s">
        <v>117</v>
      </c>
      <c r="F7" s="57">
        <v>1150000</v>
      </c>
    </row>
    <row r="8" spans="1:6" s="8" customFormat="1">
      <c r="A8" s="25">
        <v>5</v>
      </c>
      <c r="B8" s="83">
        <v>46361</v>
      </c>
      <c r="C8" s="56" t="s">
        <v>10</v>
      </c>
      <c r="D8" s="87" t="s">
        <v>118</v>
      </c>
      <c r="E8" s="89" t="s">
        <v>119</v>
      </c>
      <c r="F8" s="57">
        <v>1150000</v>
      </c>
    </row>
    <row r="9" spans="1:6" s="8" customFormat="1">
      <c r="A9" s="25">
        <v>6</v>
      </c>
      <c r="B9" s="83">
        <v>46361</v>
      </c>
      <c r="C9" s="56" t="s">
        <v>120</v>
      </c>
      <c r="D9" s="90" t="s">
        <v>121</v>
      </c>
      <c r="E9" s="91" t="s">
        <v>122</v>
      </c>
      <c r="F9" s="57">
        <v>800000</v>
      </c>
    </row>
    <row r="10" spans="1:6" s="8" customFormat="1">
      <c r="A10" s="25">
        <v>7</v>
      </c>
      <c r="B10" s="83">
        <v>46361</v>
      </c>
      <c r="C10" s="56" t="s">
        <v>123</v>
      </c>
      <c r="D10" s="92" t="s">
        <v>124</v>
      </c>
      <c r="E10" s="93" t="s">
        <v>125</v>
      </c>
      <c r="F10" s="57">
        <v>1210000</v>
      </c>
    </row>
    <row r="11" spans="1:6" s="8" customFormat="1">
      <c r="A11" s="25">
        <v>8</v>
      </c>
      <c r="B11" s="83">
        <v>46365</v>
      </c>
      <c r="C11" s="56" t="s">
        <v>10</v>
      </c>
      <c r="D11" s="94" t="s">
        <v>126</v>
      </c>
      <c r="E11" s="89" t="s">
        <v>127</v>
      </c>
      <c r="F11" s="57">
        <v>1150000</v>
      </c>
    </row>
    <row r="12" spans="1:6" s="8" customFormat="1">
      <c r="A12" s="25">
        <v>9</v>
      </c>
      <c r="B12" s="83">
        <v>46366</v>
      </c>
      <c r="C12" s="56" t="s">
        <v>9</v>
      </c>
      <c r="D12" s="67" t="s">
        <v>128</v>
      </c>
      <c r="E12" s="67" t="s">
        <v>129</v>
      </c>
      <c r="F12" s="57">
        <v>840000</v>
      </c>
    </row>
    <row r="13" spans="1:6" s="8" customFormat="1">
      <c r="A13" s="25">
        <v>10</v>
      </c>
      <c r="B13" s="83">
        <v>46367</v>
      </c>
      <c r="C13" s="56" t="s">
        <v>81</v>
      </c>
      <c r="D13" s="65" t="s">
        <v>130</v>
      </c>
      <c r="E13" s="66" t="s">
        <v>131</v>
      </c>
      <c r="F13" s="57">
        <v>900000</v>
      </c>
    </row>
    <row r="14" spans="1:6" s="8" customFormat="1">
      <c r="A14" s="25">
        <v>11</v>
      </c>
      <c r="B14" s="83">
        <v>46367</v>
      </c>
      <c r="C14" s="56" t="s">
        <v>22</v>
      </c>
      <c r="D14" s="95" t="s">
        <v>132</v>
      </c>
      <c r="E14" s="62" t="s">
        <v>133</v>
      </c>
      <c r="F14" s="57">
        <v>1200000</v>
      </c>
    </row>
    <row r="15" spans="1:6" s="8" customFormat="1" ht="45">
      <c r="A15" s="25">
        <v>12</v>
      </c>
      <c r="B15" s="83">
        <v>46368</v>
      </c>
      <c r="C15" s="56" t="s">
        <v>9</v>
      </c>
      <c r="D15" s="72"/>
      <c r="E15" s="96" t="s">
        <v>134</v>
      </c>
      <c r="F15" s="57">
        <v>660000</v>
      </c>
    </row>
    <row r="16" spans="1:6" s="8" customFormat="1">
      <c r="A16" s="25">
        <v>13</v>
      </c>
      <c r="B16" s="83">
        <v>46368</v>
      </c>
      <c r="C16" s="56" t="s">
        <v>135</v>
      </c>
      <c r="D16" s="72" t="s">
        <v>136</v>
      </c>
      <c r="E16" s="73" t="s">
        <v>137</v>
      </c>
      <c r="F16" s="58">
        <v>1100000</v>
      </c>
    </row>
    <row r="17" spans="1:13" s="8" customFormat="1">
      <c r="A17" s="25">
        <v>14</v>
      </c>
      <c r="B17" s="83">
        <v>46371</v>
      </c>
      <c r="C17" s="56" t="s">
        <v>9</v>
      </c>
      <c r="D17" s="72" t="s">
        <v>138</v>
      </c>
      <c r="E17" s="72" t="s">
        <v>139</v>
      </c>
      <c r="F17" s="56">
        <v>660000</v>
      </c>
    </row>
    <row r="18" spans="1:13" s="8" customFormat="1">
      <c r="A18" s="25">
        <v>15</v>
      </c>
      <c r="B18" s="83">
        <v>46371</v>
      </c>
      <c r="C18" s="56" t="s">
        <v>140</v>
      </c>
      <c r="D18" s="72" t="s">
        <v>141</v>
      </c>
      <c r="E18" s="73" t="s">
        <v>142</v>
      </c>
      <c r="F18" s="56">
        <v>660000</v>
      </c>
    </row>
    <row r="19" spans="1:13" s="8" customFormat="1">
      <c r="A19" s="25">
        <v>16</v>
      </c>
      <c r="B19" s="83">
        <v>46372</v>
      </c>
      <c r="C19" s="56" t="s">
        <v>9</v>
      </c>
      <c r="D19" s="72" t="s">
        <v>143</v>
      </c>
      <c r="E19" s="73" t="s">
        <v>144</v>
      </c>
      <c r="F19" s="57">
        <v>935000</v>
      </c>
      <c r="H19" s="32"/>
      <c r="I19" s="32"/>
      <c r="J19" s="32"/>
      <c r="K19" s="32"/>
      <c r="L19" s="32"/>
      <c r="M19" s="32"/>
    </row>
    <row r="20" spans="1:13" s="8" customFormat="1">
      <c r="A20" s="25">
        <v>17</v>
      </c>
      <c r="B20" s="83">
        <v>46374</v>
      </c>
      <c r="C20" s="56" t="s">
        <v>9</v>
      </c>
      <c r="D20" s="96" t="s">
        <v>145</v>
      </c>
      <c r="E20" s="73" t="s">
        <v>146</v>
      </c>
      <c r="F20" s="57">
        <v>660000</v>
      </c>
      <c r="H20" s="32"/>
      <c r="I20" s="32"/>
      <c r="J20" s="32"/>
      <c r="K20" s="32"/>
      <c r="L20" s="32"/>
      <c r="M20" s="32"/>
    </row>
    <row r="21" spans="1:13" s="8" customFormat="1">
      <c r="A21" s="25">
        <v>18</v>
      </c>
      <c r="B21" s="83">
        <v>46374</v>
      </c>
      <c r="C21" s="56" t="s">
        <v>9</v>
      </c>
      <c r="D21" s="72" t="s">
        <v>147</v>
      </c>
      <c r="E21" s="73" t="s">
        <v>148</v>
      </c>
      <c r="F21" s="57">
        <v>660000</v>
      </c>
    </row>
    <row r="22" spans="1:13" s="8" customFormat="1">
      <c r="A22" s="25">
        <v>19</v>
      </c>
      <c r="B22" s="83">
        <v>46375</v>
      </c>
      <c r="C22" s="56" t="s">
        <v>149</v>
      </c>
      <c r="D22" s="62" t="s">
        <v>150</v>
      </c>
      <c r="E22" s="62" t="s">
        <v>151</v>
      </c>
      <c r="F22" s="57">
        <v>1000000</v>
      </c>
    </row>
    <row r="23" spans="1:13" s="8" customFormat="1">
      <c r="A23" s="25">
        <v>20</v>
      </c>
      <c r="B23" s="83">
        <v>46376</v>
      </c>
      <c r="C23" s="56" t="s">
        <v>10</v>
      </c>
      <c r="D23" s="97" t="s">
        <v>152</v>
      </c>
      <c r="E23" s="97" t="s">
        <v>153</v>
      </c>
      <c r="F23" s="57">
        <v>1150000</v>
      </c>
    </row>
    <row r="24" spans="1:13" s="8" customFormat="1">
      <c r="A24" s="25">
        <v>21</v>
      </c>
      <c r="B24" s="83">
        <v>46376</v>
      </c>
      <c r="C24" s="56" t="s">
        <v>9</v>
      </c>
      <c r="D24" s="98" t="s">
        <v>154</v>
      </c>
      <c r="E24" s="98" t="s">
        <v>155</v>
      </c>
      <c r="F24" s="58">
        <v>660000</v>
      </c>
    </row>
    <row r="25" spans="1:13" s="8" customFormat="1" ht="26.25" customHeight="1">
      <c r="A25" s="25">
        <v>22</v>
      </c>
      <c r="B25" s="83">
        <v>46378</v>
      </c>
      <c r="C25" s="56" t="s">
        <v>10</v>
      </c>
      <c r="D25" s="99" t="s">
        <v>156</v>
      </c>
      <c r="E25" s="99" t="s">
        <v>157</v>
      </c>
      <c r="F25" s="58">
        <v>1150000</v>
      </c>
    </row>
    <row r="26" spans="1:13" s="8" customFormat="1">
      <c r="A26" s="25">
        <v>23</v>
      </c>
      <c r="B26" s="83">
        <v>46378</v>
      </c>
      <c r="C26" s="56" t="s">
        <v>89</v>
      </c>
      <c r="D26" s="72" t="s">
        <v>158</v>
      </c>
      <c r="E26" s="77" t="s">
        <v>159</v>
      </c>
      <c r="F26" s="58">
        <f>55*26000</f>
        <v>1430000</v>
      </c>
    </row>
    <row r="27" spans="1:13" s="8" customFormat="1">
      <c r="A27" s="25">
        <v>24</v>
      </c>
      <c r="B27" s="83">
        <v>46379</v>
      </c>
      <c r="C27" s="56" t="s">
        <v>81</v>
      </c>
      <c r="D27" s="65" t="s">
        <v>160</v>
      </c>
      <c r="E27" s="100" t="s">
        <v>161</v>
      </c>
      <c r="F27" s="58">
        <v>900000</v>
      </c>
    </row>
    <row r="28" spans="1:13" s="8" customFormat="1">
      <c r="A28" s="25">
        <v>25</v>
      </c>
      <c r="B28" s="83">
        <v>46379</v>
      </c>
      <c r="C28" s="56" t="s">
        <v>89</v>
      </c>
      <c r="D28" s="76" t="s">
        <v>162</v>
      </c>
      <c r="E28" s="77" t="s">
        <v>159</v>
      </c>
      <c r="F28" s="58">
        <f>55*26000</f>
        <v>1430000</v>
      </c>
    </row>
    <row r="29" spans="1:13" s="8" customFormat="1">
      <c r="A29" s="25">
        <v>26</v>
      </c>
      <c r="B29" s="83">
        <v>46381</v>
      </c>
      <c r="C29" s="56" t="s">
        <v>10</v>
      </c>
      <c r="D29" s="101" t="s">
        <v>163</v>
      </c>
      <c r="E29" s="65" t="s">
        <v>164</v>
      </c>
      <c r="F29" s="58">
        <v>1150000</v>
      </c>
    </row>
    <row r="30" spans="1:13" s="8" customFormat="1">
      <c r="A30" s="25">
        <v>27</v>
      </c>
      <c r="B30" s="83">
        <v>46381</v>
      </c>
      <c r="C30" s="56" t="s">
        <v>165</v>
      </c>
      <c r="D30" s="98" t="s">
        <v>166</v>
      </c>
      <c r="E30" s="98" t="s">
        <v>167</v>
      </c>
      <c r="F30" s="58">
        <v>850000</v>
      </c>
    </row>
    <row r="31" spans="1:13" ht="15.75">
      <c r="A31" s="25">
        <v>28</v>
      </c>
      <c r="B31" s="83">
        <v>46382</v>
      </c>
      <c r="C31" s="56" t="s">
        <v>10</v>
      </c>
      <c r="D31" s="101" t="s">
        <v>168</v>
      </c>
      <c r="E31" s="66" t="s">
        <v>169</v>
      </c>
      <c r="F31" s="58">
        <v>1150000</v>
      </c>
    </row>
    <row r="32" spans="1:13" ht="15.75">
      <c r="A32" s="25">
        <v>29</v>
      </c>
      <c r="B32" s="83">
        <v>46384</v>
      </c>
      <c r="C32" s="86" t="s">
        <v>22</v>
      </c>
      <c r="D32" s="85" t="s">
        <v>170</v>
      </c>
      <c r="E32" s="60" t="s">
        <v>171</v>
      </c>
      <c r="F32" s="58">
        <v>1200000</v>
      </c>
    </row>
    <row r="33" spans="1:6" ht="15.75">
      <c r="A33" s="25">
        <v>30</v>
      </c>
      <c r="B33" s="83">
        <v>46386</v>
      </c>
      <c r="C33" s="86" t="s">
        <v>22</v>
      </c>
      <c r="D33" s="62" t="s">
        <v>172</v>
      </c>
      <c r="E33" s="62" t="s">
        <v>173</v>
      </c>
      <c r="F33" s="58">
        <v>1200000</v>
      </c>
    </row>
    <row r="34" spans="1:6" ht="15.75">
      <c r="A34" s="25">
        <v>31</v>
      </c>
      <c r="B34" s="83">
        <v>46387</v>
      </c>
      <c r="C34" s="86" t="s">
        <v>10</v>
      </c>
      <c r="D34" s="101" t="s">
        <v>174</v>
      </c>
      <c r="E34" s="66" t="s">
        <v>175</v>
      </c>
      <c r="F34" s="58">
        <v>1150000</v>
      </c>
    </row>
    <row r="35" spans="1:6" ht="15.75">
      <c r="A35" s="25">
        <v>32</v>
      </c>
      <c r="B35" s="83">
        <v>46387</v>
      </c>
      <c r="C35" s="86" t="s">
        <v>104</v>
      </c>
      <c r="D35" s="72" t="s">
        <v>176</v>
      </c>
      <c r="E35" s="77" t="s">
        <v>159</v>
      </c>
      <c r="F35" s="58">
        <f>55*26000</f>
        <v>1430000</v>
      </c>
    </row>
    <row r="36" spans="1:6" ht="15.75">
      <c r="F36" s="102">
        <f>SUM(F4:F35)</f>
        <v>32475000</v>
      </c>
    </row>
  </sheetData>
  <mergeCells count="1">
    <mergeCell ref="A2:F2"/>
  </mergeCells>
  <conditionalFormatting sqref="D32">
    <cfRule type="duplicateValues" dxfId="2" priority="1"/>
  </conditionalFormatting>
  <conditionalFormatting sqref="E19">
    <cfRule type="duplicateValues" dxfId="1" priority="2"/>
  </conditionalFormatting>
  <conditionalFormatting sqref="E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 </vt:lpstr>
      <vt:lpstr>OCT 25</vt:lpstr>
      <vt:lpstr>NOV 25</vt:lpstr>
      <vt:lpstr>DEC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2025-04-23T02:11:26Z</dcterms:created>
  <dcterms:modified xsi:type="dcterms:W3CDTF">2026-05-28T09:22:49Z</dcterms:modified>
</cp:coreProperties>
</file>